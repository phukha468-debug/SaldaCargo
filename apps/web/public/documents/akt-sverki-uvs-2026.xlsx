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т сверки УВ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₽&quot;"/>
  </numFmts>
  <fonts count="14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475569"/>
      <sz val="11"/>
    </font>
    <font>
      <name val="Calibri"/>
      <b val="1"/>
      <color rgb="001E3A8A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0F172A"/>
      <sz val="10"/>
    </font>
    <font>
      <name val="Calibri"/>
      <b val="1"/>
      <color rgb="00B91C1C"/>
      <sz val="11"/>
    </font>
    <font>
      <name val="Calibri"/>
      <b val="1"/>
      <color rgb="00B91C1C"/>
      <sz val="9"/>
    </font>
    <font>
      <name val="Calibri"/>
      <b val="1"/>
      <color rgb="00991B1B"/>
      <sz val="11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991B1B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FEE2E2"/>
        <bgColor rgb="00FEE2E2"/>
      </patternFill>
    </fill>
    <fill>
      <patternFill patternType="solid">
        <fgColor rgb="007F1D1D"/>
        <bgColor rgb="007F1D1D"/>
      </patternFill>
    </fill>
    <fill>
      <patternFill patternType="solid">
        <fgColor rgb="00FFF1F2"/>
        <bgColor rgb="00FFF1F2"/>
      </patternFill>
    </fill>
  </fills>
  <borders count="3">
    <border>
      <left/>
      <right/>
      <top/>
      <bottom/>
      <diagonal/>
    </border>
    <border>
      <left style="thin">
        <color rgb="000F172A"/>
      </left>
      <right style="thin">
        <color rgb="000F172A"/>
      </right>
      <top style="medium">
        <color rgb="000F172A"/>
      </top>
      <bottom style="medium">
        <color rgb="000F172A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right" vertical="center"/>
    </xf>
    <xf numFmtId="164" fontId="6" fillId="3" borderId="2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0" fillId="4" borderId="1" pivotButton="0" quotePrefix="0" xfId="0"/>
    <xf numFmtId="164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/>
    </xf>
    <xf numFmtId="164" fontId="12" fillId="7" borderId="2" applyAlignment="1" pivotButton="0" quotePrefix="0" xfId="0">
      <alignment horizontal="right" vertical="center"/>
    </xf>
    <xf numFmtId="0" fontId="13" fillId="5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14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АКТ СВЕРКИ ВЗАИМНЫХ РАСЧЕТОВ</t>
        </is>
      </c>
    </row>
    <row r="2">
      <c r="A2" s="2" t="inlineStr">
        <is>
          <t>за период: 18 мая 2026 г. — 04 октября 2026 г.</t>
        </is>
      </c>
    </row>
    <row r="4">
      <c r="A4" s="3" t="inlineStr">
        <is>
          <t>Исполнитель: ИП Нигамедьянов А.С. (ТК501 / SaldaCargo)</t>
        </is>
      </c>
      <c r="E4" s="3" t="inlineStr">
        <is>
          <t>Заказчик: ООО «Уралводстрой» (УВС)</t>
        </is>
      </c>
    </row>
    <row r="6" ht="22" customHeight="1">
      <c r="A6" s="4" t="inlineStr">
        <is>
          <t>№</t>
        </is>
      </c>
      <c r="B6" s="4" t="inlineStr">
        <is>
          <t>Дата</t>
        </is>
      </c>
      <c r="C6" s="4" t="inlineStr">
        <is>
          <t>Документ / Основание</t>
        </is>
      </c>
      <c r="D6" s="4" t="inlineStr">
        <is>
          <t>Рейс</t>
        </is>
      </c>
      <c r="E6" s="4" t="inlineStr">
        <is>
          <t>Водитель</t>
        </is>
      </c>
      <c r="F6" s="4" t="inlineStr">
        <is>
          <t>Автомобиль</t>
        </is>
      </c>
      <c r="G6" s="4" t="inlineStr">
        <is>
          <t>Дебет (Оказано), ₽</t>
        </is>
      </c>
      <c r="H6" s="4" t="inlineStr">
        <is>
          <t>Кредит (Оплачено), ₽</t>
        </is>
      </c>
    </row>
    <row r="7">
      <c r="A7" s="5" t="n">
        <v>1</v>
      </c>
      <c r="B7" s="5" t="inlineStr">
        <is>
          <t>18.05.2026</t>
        </is>
      </c>
      <c r="C7" s="6" t="inlineStr">
        <is>
          <t>Счёт №1 от 18.05.2026</t>
        </is>
      </c>
      <c r="D7" s="5" t="inlineStr">
        <is>
          <t>Рейс №88</t>
        </is>
      </c>
      <c r="E7" s="6" t="inlineStr">
        <is>
          <t>Никифоров Д.В.</t>
        </is>
      </c>
      <c r="F7" s="6" t="inlineStr">
        <is>
          <t>Газель Next</t>
        </is>
      </c>
      <c r="G7" s="7" t="n">
        <v>7000</v>
      </c>
      <c r="H7" s="8" t="n">
        <v>0</v>
      </c>
    </row>
    <row r="8">
      <c r="A8" s="9" t="n">
        <v>2</v>
      </c>
      <c r="B8" s="9" t="inlineStr">
        <is>
          <t>18.05.2026</t>
        </is>
      </c>
      <c r="C8" s="10" t="inlineStr">
        <is>
          <t>Оплата по QR от 18.05.2026</t>
        </is>
      </c>
      <c r="D8" s="9" t="inlineStr">
        <is>
          <t>Рейс №88</t>
        </is>
      </c>
      <c r="E8" s="10" t="inlineStr">
        <is>
          <t>—</t>
        </is>
      </c>
      <c r="F8" s="10" t="inlineStr">
        <is>
          <t>—</t>
        </is>
      </c>
      <c r="G8" s="11" t="n">
        <v>0</v>
      </c>
      <c r="H8" s="12" t="n">
        <v>7000</v>
      </c>
    </row>
    <row r="9">
      <c r="A9" s="5" t="n">
        <v>3</v>
      </c>
      <c r="B9" s="5" t="inlineStr">
        <is>
          <t>25.05.2026</t>
        </is>
      </c>
      <c r="C9" s="6" t="inlineStr">
        <is>
          <t>Счёт №2 от 25.05.2026</t>
        </is>
      </c>
      <c r="D9" s="5" t="inlineStr">
        <is>
          <t>Рейс №130</t>
        </is>
      </c>
      <c r="E9" s="6" t="inlineStr">
        <is>
          <t>Никифоров Д.В.</t>
        </is>
      </c>
      <c r="F9" s="6" t="inlineStr">
        <is>
          <t>Газель Next</t>
        </is>
      </c>
      <c r="G9" s="7" t="n">
        <v>6000</v>
      </c>
      <c r="H9" s="8" t="n">
        <v>0</v>
      </c>
    </row>
    <row r="10">
      <c r="A10" s="9" t="n">
        <v>4</v>
      </c>
      <c r="B10" s="9" t="inlineStr">
        <is>
          <t>25.05.2026</t>
        </is>
      </c>
      <c r="C10" s="10" t="inlineStr">
        <is>
          <t>Оплата по QR от 25.05.2026</t>
        </is>
      </c>
      <c r="D10" s="9" t="inlineStr">
        <is>
          <t>Рейс №130</t>
        </is>
      </c>
      <c r="E10" s="10" t="inlineStr">
        <is>
          <t>—</t>
        </is>
      </c>
      <c r="F10" s="10" t="inlineStr">
        <is>
          <t>—</t>
        </is>
      </c>
      <c r="G10" s="11" t="n">
        <v>0</v>
      </c>
      <c r="H10" s="12" t="n">
        <v>6000</v>
      </c>
    </row>
    <row r="11">
      <c r="A11" s="5" t="n">
        <v>5</v>
      </c>
      <c r="B11" s="5" t="inlineStr">
        <is>
          <t>18.06.2026</t>
        </is>
      </c>
      <c r="C11" s="6" t="inlineStr">
        <is>
          <t>Счёт №3 от 18.06.2026</t>
        </is>
      </c>
      <c r="D11" s="5" t="inlineStr">
        <is>
          <t>Рейс №249</t>
        </is>
      </c>
      <c r="E11" s="6" t="inlineStr">
        <is>
          <t>Никифоров Д.В.</t>
        </is>
      </c>
      <c r="F11" s="6" t="inlineStr">
        <is>
          <t>Газель Next</t>
        </is>
      </c>
      <c r="G11" s="7" t="n">
        <v>5000</v>
      </c>
      <c r="H11" s="8" t="n">
        <v>0</v>
      </c>
    </row>
    <row r="12">
      <c r="A12" s="9" t="n">
        <v>6</v>
      </c>
      <c r="B12" s="9" t="inlineStr">
        <is>
          <t>19.06.2026</t>
        </is>
      </c>
      <c r="C12" s="10" t="inlineStr">
        <is>
          <t>Рейс №255</t>
        </is>
      </c>
      <c r="D12" s="9" t="inlineStr">
        <is>
          <t>Рейс №255</t>
        </is>
      </c>
      <c r="E12" s="10" t="inlineStr">
        <is>
          <t>Никифоров Д.В.</t>
        </is>
      </c>
      <c r="F12" s="10" t="inlineStr">
        <is>
          <t>Газель Next</t>
        </is>
      </c>
      <c r="G12" s="12" t="n">
        <v>3000</v>
      </c>
      <c r="H12" s="11" t="n">
        <v>0</v>
      </c>
    </row>
    <row r="13">
      <c r="A13" s="5" t="n">
        <v>7</v>
      </c>
      <c r="B13" s="5" t="inlineStr">
        <is>
          <t>21.06.2026</t>
        </is>
      </c>
      <c r="C13" s="6" t="inlineStr">
        <is>
          <t>Рейс №259</t>
        </is>
      </c>
      <c r="D13" s="5" t="inlineStr">
        <is>
          <t>Рейс №259</t>
        </is>
      </c>
      <c r="E13" s="6" t="inlineStr">
        <is>
          <t>Никифоров Д.В.</t>
        </is>
      </c>
      <c r="F13" s="6" t="inlineStr">
        <is>
          <t>Газель Next</t>
        </is>
      </c>
      <c r="G13" s="7" t="n">
        <v>6000</v>
      </c>
      <c r="H13" s="8" t="n">
        <v>0</v>
      </c>
    </row>
    <row r="14">
      <c r="A14" s="9" t="n">
        <v>8</v>
      </c>
      <c r="B14" s="9" t="inlineStr">
        <is>
          <t>22.06.2026</t>
        </is>
      </c>
      <c r="C14" s="10" t="inlineStr">
        <is>
          <t>Рейс №264</t>
        </is>
      </c>
      <c r="D14" s="9" t="inlineStr">
        <is>
          <t>Рейс №264</t>
        </is>
      </c>
      <c r="E14" s="10" t="inlineStr">
        <is>
          <t>Никифоров Д.В.</t>
        </is>
      </c>
      <c r="F14" s="10" t="inlineStr">
        <is>
          <t>Газель Next</t>
        </is>
      </c>
      <c r="G14" s="12" t="n">
        <v>3000</v>
      </c>
      <c r="H14" s="11" t="n">
        <v>0</v>
      </c>
    </row>
    <row r="15">
      <c r="A15" s="5" t="n">
        <v>9</v>
      </c>
      <c r="B15" s="5" t="inlineStr">
        <is>
          <t>24.06.2026</t>
        </is>
      </c>
      <c r="C15" s="6" t="inlineStr">
        <is>
          <t>Рейс №275</t>
        </is>
      </c>
      <c r="D15" s="5" t="inlineStr">
        <is>
          <t>Рейс №275</t>
        </is>
      </c>
      <c r="E15" s="6" t="inlineStr">
        <is>
          <t>Никифоров Д.В.</t>
        </is>
      </c>
      <c r="F15" s="6" t="inlineStr">
        <is>
          <t>Газель Next</t>
        </is>
      </c>
      <c r="G15" s="7" t="n">
        <v>6000</v>
      </c>
      <c r="H15" s="8" t="n">
        <v>0</v>
      </c>
    </row>
    <row r="16">
      <c r="A16" s="9" t="n">
        <v>10</v>
      </c>
      <c r="B16" s="9" t="inlineStr">
        <is>
          <t>25.06.2026</t>
        </is>
      </c>
      <c r="C16" s="10" t="inlineStr">
        <is>
          <t>Рейс №283</t>
        </is>
      </c>
      <c r="D16" s="9" t="inlineStr">
        <is>
          <t>Рейс №283</t>
        </is>
      </c>
      <c r="E16" s="10" t="inlineStr">
        <is>
          <t>Никифоров Д.В.</t>
        </is>
      </c>
      <c r="F16" s="10" t="inlineStr">
        <is>
          <t>Газель Next</t>
        </is>
      </c>
      <c r="G16" s="12" t="n">
        <v>3000</v>
      </c>
      <c r="H16" s="11" t="n">
        <v>0</v>
      </c>
    </row>
    <row r="17">
      <c r="A17" s="5" t="n">
        <v>11</v>
      </c>
      <c r="B17" s="5" t="inlineStr">
        <is>
          <t>25.06.2026</t>
        </is>
      </c>
      <c r="C17" s="6" t="inlineStr">
        <is>
          <t>Счёт №15 от 25.06.2026</t>
        </is>
      </c>
      <c r="D17" s="5" t="inlineStr">
        <is>
          <t>Рейс №286</t>
        </is>
      </c>
      <c r="E17" s="6" t="inlineStr">
        <is>
          <t>Никифоров Д.В.</t>
        </is>
      </c>
      <c r="F17" s="6" t="inlineStr">
        <is>
          <t>Газель Next</t>
        </is>
      </c>
      <c r="G17" s="7" t="n">
        <v>8000</v>
      </c>
      <c r="H17" s="8" t="n">
        <v>0</v>
      </c>
    </row>
    <row r="18">
      <c r="A18" s="9" t="n">
        <v>12</v>
      </c>
      <c r="B18" s="9" t="inlineStr">
        <is>
          <t>30.06.2026</t>
        </is>
      </c>
      <c r="C18" s="10" t="inlineStr">
        <is>
          <t>Рейс №293</t>
        </is>
      </c>
      <c r="D18" s="9" t="inlineStr">
        <is>
          <t>Рейс №293</t>
        </is>
      </c>
      <c r="E18" s="10" t="inlineStr">
        <is>
          <t>Никифоров Д.В.</t>
        </is>
      </c>
      <c r="F18" s="10" t="inlineStr">
        <is>
          <t>Газель Next</t>
        </is>
      </c>
      <c r="G18" s="12" t="n">
        <v>4000</v>
      </c>
      <c r="H18" s="11" t="n">
        <v>0</v>
      </c>
    </row>
    <row r="19">
      <c r="A19" s="5" t="n">
        <v>13</v>
      </c>
      <c r="B19" s="5" t="inlineStr">
        <is>
          <t>01.07.2026</t>
        </is>
      </c>
      <c r="C19" s="6" t="inlineStr">
        <is>
          <t>Платёж б/н от 01.07.2026</t>
        </is>
      </c>
      <c r="D19" s="5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8" t="n">
        <v>0</v>
      </c>
      <c r="H19" s="7" t="n">
        <v>3000</v>
      </c>
    </row>
    <row r="20">
      <c r="A20" s="9" t="n">
        <v>14</v>
      </c>
      <c r="B20" s="9" t="inlineStr">
        <is>
          <t>01.07.2026</t>
        </is>
      </c>
      <c r="C20" s="10" t="inlineStr">
        <is>
          <t>Платёж б/н от 01.07.2026</t>
        </is>
      </c>
      <c r="D20" s="9" t="inlineStr">
        <is>
          <t>—</t>
        </is>
      </c>
      <c r="E20" s="10" t="inlineStr">
        <is>
          <t>—</t>
        </is>
      </c>
      <c r="F20" s="10" t="inlineStr">
        <is>
          <t>—</t>
        </is>
      </c>
      <c r="G20" s="11" t="n">
        <v>0</v>
      </c>
      <c r="H20" s="12" t="n">
        <v>3000</v>
      </c>
    </row>
    <row r="21">
      <c r="A21" s="5" t="n">
        <v>15</v>
      </c>
      <c r="B21" s="5" t="inlineStr">
        <is>
          <t>07.07.2026</t>
        </is>
      </c>
      <c r="C21" s="6" t="inlineStr">
        <is>
          <t>Счёт №10 от 13.07.2026</t>
        </is>
      </c>
      <c r="D21" s="5" t="inlineStr">
        <is>
          <t>Рейс №319</t>
        </is>
      </c>
      <c r="E21" s="6" t="inlineStr">
        <is>
          <t>Никифоров Д.В.</t>
        </is>
      </c>
      <c r="F21" s="6" t="inlineStr">
        <is>
          <t>Газель Next</t>
        </is>
      </c>
      <c r="G21" s="7" t="n">
        <v>12000</v>
      </c>
      <c r="H21" s="8" t="n">
        <v>0</v>
      </c>
    </row>
    <row r="22">
      <c r="A22" s="9" t="n">
        <v>16</v>
      </c>
      <c r="B22" s="9" t="inlineStr">
        <is>
          <t>08.07.2026</t>
        </is>
      </c>
      <c r="C22" s="10" t="inlineStr">
        <is>
          <t>Счёт №11 от 13.07.2026</t>
        </is>
      </c>
      <c r="D22" s="9" t="inlineStr">
        <is>
          <t>Рейс №322</t>
        </is>
      </c>
      <c r="E22" s="10" t="inlineStr">
        <is>
          <t>Никифоров Д.В.</t>
        </is>
      </c>
      <c r="F22" s="10" t="inlineStr">
        <is>
          <t>Газель Next</t>
        </is>
      </c>
      <c r="G22" s="12" t="n">
        <v>4000</v>
      </c>
      <c r="H22" s="11" t="n">
        <v>0</v>
      </c>
    </row>
    <row r="23">
      <c r="A23" s="5" t="n">
        <v>17</v>
      </c>
      <c r="B23" s="5" t="inlineStr">
        <is>
          <t>09.07.2026</t>
        </is>
      </c>
      <c r="C23" s="6" t="inlineStr">
        <is>
          <t>Счёт №12 от 12.07.2026</t>
        </is>
      </c>
      <c r="D23" s="5" t="inlineStr">
        <is>
          <t>Рейс №329</t>
        </is>
      </c>
      <c r="E23" s="6" t="inlineStr">
        <is>
          <t>Никифоров Д.В.</t>
        </is>
      </c>
      <c r="F23" s="6" t="inlineStr">
        <is>
          <t>Газель Next</t>
        </is>
      </c>
      <c r="G23" s="7" t="n">
        <v>6000</v>
      </c>
      <c r="H23" s="8" t="n">
        <v>0</v>
      </c>
    </row>
    <row r="24">
      <c r="A24" s="9" t="n">
        <v>18</v>
      </c>
      <c r="B24" s="9" t="inlineStr">
        <is>
          <t>10.07.2026</t>
        </is>
      </c>
      <c r="C24" s="10" t="inlineStr">
        <is>
          <t>Счёт №13 от 13.07.2026</t>
        </is>
      </c>
      <c r="D24" s="9" t="inlineStr">
        <is>
          <t>Рейс №334</t>
        </is>
      </c>
      <c r="E24" s="10" t="inlineStr">
        <is>
          <t>Никифоров Д.В.</t>
        </is>
      </c>
      <c r="F24" s="10" t="inlineStr">
        <is>
          <t>Газель Next</t>
        </is>
      </c>
      <c r="G24" s="12" t="n">
        <v>3000</v>
      </c>
      <c r="H24" s="11" t="n">
        <v>0</v>
      </c>
    </row>
    <row r="25">
      <c r="A25" s="5" t="n">
        <v>19</v>
      </c>
      <c r="B25" s="5" t="inlineStr">
        <is>
          <t>14.07.2026</t>
        </is>
      </c>
      <c r="C25" s="6" t="inlineStr">
        <is>
          <t>Счёт №14 от 26.08.2026</t>
        </is>
      </c>
      <c r="D25" s="5" t="inlineStr">
        <is>
          <t>Рейс №350</t>
        </is>
      </c>
      <c r="E25" s="6" t="inlineStr">
        <is>
          <t>Никифоров Д.В.</t>
        </is>
      </c>
      <c r="F25" s="6" t="inlineStr">
        <is>
          <t>Газель Next</t>
        </is>
      </c>
      <c r="G25" s="7" t="n">
        <v>6000</v>
      </c>
      <c r="H25" s="8" t="n">
        <v>0</v>
      </c>
    </row>
    <row r="26">
      <c r="A26" s="9" t="n">
        <v>20</v>
      </c>
      <c r="B26" s="9" t="inlineStr">
        <is>
          <t>25.08.2026</t>
        </is>
      </c>
      <c r="C26" s="10" t="inlineStr">
        <is>
          <t>Счёт №16 от 27.09.2026</t>
        </is>
      </c>
      <c r="D26" s="9" t="inlineStr">
        <is>
          <t>Рейс №566</t>
        </is>
      </c>
      <c r="E26" s="10" t="inlineStr">
        <is>
          <t>Никифоров Д.В.</t>
        </is>
      </c>
      <c r="F26" s="10" t="inlineStr">
        <is>
          <t>Газель Next</t>
        </is>
      </c>
      <c r="G26" s="12" t="n">
        <v>6000</v>
      </c>
      <c r="H26" s="11" t="n">
        <v>0</v>
      </c>
    </row>
    <row r="27">
      <c r="A27" s="5" t="n">
        <v>21</v>
      </c>
      <c r="B27" s="5" t="inlineStr">
        <is>
          <t>27.08.2026</t>
        </is>
      </c>
      <c r="C27" s="6" t="inlineStr">
        <is>
          <t>Счёт №17 от 27.08.2026</t>
        </is>
      </c>
      <c r="D27" s="5" t="inlineStr">
        <is>
          <t>Рейс №578</t>
        </is>
      </c>
      <c r="E27" s="6" t="inlineStr">
        <is>
          <t>Полещук В.В.</t>
        </is>
      </c>
      <c r="F27" s="6" t="inlineStr">
        <is>
          <t>Газель</t>
        </is>
      </c>
      <c r="G27" s="7" t="n">
        <v>5000</v>
      </c>
      <c r="H27" s="8" t="n">
        <v>0</v>
      </c>
    </row>
    <row r="28">
      <c r="A28" s="9" t="n">
        <v>22</v>
      </c>
      <c r="B28" s="9" t="inlineStr">
        <is>
          <t>04.09.2026</t>
        </is>
      </c>
      <c r="C28" s="10" t="inlineStr">
        <is>
          <t>Платёж б/н от 04.09.2026</t>
        </is>
      </c>
      <c r="D28" s="9" t="inlineStr">
        <is>
          <t>—</t>
        </is>
      </c>
      <c r="E28" s="10" t="inlineStr">
        <is>
          <t>—</t>
        </is>
      </c>
      <c r="F28" s="10" t="inlineStr">
        <is>
          <t>—</t>
        </is>
      </c>
      <c r="G28" s="11" t="n">
        <v>0</v>
      </c>
      <c r="H28" s="12" t="n">
        <v>24000</v>
      </c>
    </row>
    <row r="29">
      <c r="A29" s="5" t="n">
        <v>23</v>
      </c>
      <c r="B29" s="5" t="inlineStr">
        <is>
          <t>08.09.2026</t>
        </is>
      </c>
      <c r="C29" s="6" t="inlineStr">
        <is>
          <t>Счёт №18 от 10.09.2026</t>
        </is>
      </c>
      <c r="D29" s="5" t="inlineStr">
        <is>
          <t>Рейс №639</t>
        </is>
      </c>
      <c r="E29" s="6" t="inlineStr">
        <is>
          <t>Фарух</t>
        </is>
      </c>
      <c r="F29" s="6" t="inlineStr">
        <is>
          <t>Газель Next</t>
        </is>
      </c>
      <c r="G29" s="7" t="n">
        <v>8000</v>
      </c>
      <c r="H29" s="8" t="n">
        <v>0</v>
      </c>
    </row>
    <row r="30">
      <c r="A30" s="9" t="n">
        <v>24</v>
      </c>
      <c r="B30" s="9" t="inlineStr">
        <is>
          <t>29.09.2026</t>
        </is>
      </c>
      <c r="C30" s="10" t="inlineStr">
        <is>
          <t>Платёж б/н от 29.09.2026</t>
        </is>
      </c>
      <c r="D30" s="9" t="inlineStr">
        <is>
          <t>—</t>
        </is>
      </c>
      <c r="E30" s="10" t="inlineStr">
        <is>
          <t>—</t>
        </is>
      </c>
      <c r="F30" s="10" t="inlineStr">
        <is>
          <t>—</t>
        </is>
      </c>
      <c r="G30" s="11" t="n">
        <v>0</v>
      </c>
      <c r="H30" s="12" t="n">
        <v>15000</v>
      </c>
    </row>
    <row r="31">
      <c r="A31" s="5" t="n">
        <v>25</v>
      </c>
      <c r="B31" s="5" t="inlineStr">
        <is>
          <t>02.10.2026</t>
        </is>
      </c>
      <c r="C31" s="6" t="inlineStr">
        <is>
          <t>Счёт №19 от 03.10.2026</t>
        </is>
      </c>
      <c r="D31" s="5" t="inlineStr">
        <is>
          <t>Рейс №756</t>
        </is>
      </c>
      <c r="E31" s="6" t="inlineStr">
        <is>
          <t>Иван Фирсов</t>
        </is>
      </c>
      <c r="F31" s="6" t="inlineStr">
        <is>
          <t>Газель Next</t>
        </is>
      </c>
      <c r="G31" s="7" t="n">
        <v>5000</v>
      </c>
      <c r="H31" s="8" t="n">
        <v>0</v>
      </c>
    </row>
    <row r="32">
      <c r="A32" s="13" t="inlineStr">
        <is>
          <t>ИТОГО ОБОРОТЫ ЗА ПЕРИОД:</t>
        </is>
      </c>
      <c r="B32" s="14" t="n"/>
      <c r="C32" s="14" t="n"/>
      <c r="D32" s="14" t="n"/>
      <c r="E32" s="14" t="n"/>
      <c r="F32" s="14" t="n"/>
      <c r="G32" s="15">
        <f>SUM(G7:G31)</f>
        <v/>
      </c>
      <c r="H32" s="15">
        <f>SUM(H7:H31)</f>
        <v/>
      </c>
    </row>
    <row r="33">
      <c r="A33" s="16" t="inlineStr">
        <is>
          <t>КОНЕЧНОЕ САЛЬДО (ЗАДОЛЖЕННОСТЬ УВС):</t>
        </is>
      </c>
      <c r="B33" s="17" t="n"/>
      <c r="C33" s="17" t="n"/>
      <c r="D33" s="17" t="n"/>
      <c r="E33" s="17" t="n"/>
      <c r="F33" s="17" t="n"/>
      <c r="G33" s="18">
        <f>G32-H32</f>
        <v/>
      </c>
      <c r="H33" s="19" t="inlineStr">
        <is>
          <t>В пользу ИП Нигамедьянов</t>
        </is>
      </c>
    </row>
    <row r="36">
      <c r="A36" s="20" t="inlineStr">
        <is>
          <t>РЕЕСТР НЕОПЛАЧЕННЫХ РЕЙСОВ</t>
        </is>
      </c>
    </row>
    <row r="37">
      <c r="A37" s="21" t="inlineStr">
        <is>
          <t>№</t>
        </is>
      </c>
      <c r="B37" s="21" t="inlineStr">
        <is>
          <t>Дата рейса</t>
        </is>
      </c>
      <c r="C37" s="21" t="inlineStr">
        <is>
          <t>Счёт / Акт</t>
        </is>
      </c>
      <c r="D37" s="21" t="inlineStr">
        <is>
          <t>Рейс</t>
        </is>
      </c>
      <c r="E37" s="21" t="inlineStr">
        <is>
          <t>Водитель</t>
        </is>
      </c>
      <c r="F37" s="21" t="inlineStr">
        <is>
          <t>Автомобиль</t>
        </is>
      </c>
      <c r="G37" s="21" t="inlineStr">
        <is>
          <t>Сумма к оплате, ₽</t>
        </is>
      </c>
    </row>
    <row r="38">
      <c r="A38" s="22" t="n">
        <v>1</v>
      </c>
      <c r="B38" s="22" t="inlineStr">
        <is>
          <t>25.06.2026</t>
        </is>
      </c>
      <c r="C38" s="23" t="inlineStr">
        <is>
          <t>Счёт №15 от 25.06.2026</t>
        </is>
      </c>
      <c r="D38" s="22" t="inlineStr">
        <is>
          <t>Рейс №286</t>
        </is>
      </c>
      <c r="E38" s="23" t="inlineStr">
        <is>
          <t>Никифоров Д.В.</t>
        </is>
      </c>
      <c r="F38" s="23" t="inlineStr">
        <is>
          <t>Газель Next</t>
        </is>
      </c>
      <c r="G38" s="24" t="n">
        <v>8000</v>
      </c>
    </row>
    <row r="39">
      <c r="A39" s="22" t="n">
        <v>2</v>
      </c>
      <c r="B39" s="22" t="inlineStr">
        <is>
          <t>08.07.2026</t>
        </is>
      </c>
      <c r="C39" s="23" t="inlineStr">
        <is>
          <t>Счёт №11 от 13.07.2026</t>
        </is>
      </c>
      <c r="D39" s="22" t="inlineStr">
        <is>
          <t>Рейс №322</t>
        </is>
      </c>
      <c r="E39" s="23" t="inlineStr">
        <is>
          <t>Никифоров Д.В.</t>
        </is>
      </c>
      <c r="F39" s="23" t="inlineStr">
        <is>
          <t>Газель Next</t>
        </is>
      </c>
      <c r="G39" s="24" t="n">
        <v>4000</v>
      </c>
    </row>
    <row r="40">
      <c r="A40" s="22" t="n">
        <v>3</v>
      </c>
      <c r="B40" s="22" t="inlineStr">
        <is>
          <t>09.07.2026</t>
        </is>
      </c>
      <c r="C40" s="23" t="inlineStr">
        <is>
          <t>Счёт №12 от 12.07.2026</t>
        </is>
      </c>
      <c r="D40" s="22" t="inlineStr">
        <is>
          <t>Рейс №329</t>
        </is>
      </c>
      <c r="E40" s="23" t="inlineStr">
        <is>
          <t>Никифоров Д.В.</t>
        </is>
      </c>
      <c r="F40" s="23" t="inlineStr">
        <is>
          <t>Газель Next</t>
        </is>
      </c>
      <c r="G40" s="24" t="n">
        <v>6000</v>
      </c>
    </row>
    <row r="41">
      <c r="A41" s="22" t="n">
        <v>4</v>
      </c>
      <c r="B41" s="22" t="inlineStr">
        <is>
          <t>14.07.2026</t>
        </is>
      </c>
      <c r="C41" s="23" t="inlineStr">
        <is>
          <t>Счёт №14 от 26.08.2026</t>
        </is>
      </c>
      <c r="D41" s="22" t="inlineStr">
        <is>
          <t>Рейс №350</t>
        </is>
      </c>
      <c r="E41" s="23" t="inlineStr">
        <is>
          <t>Никифоров Д.В.</t>
        </is>
      </c>
      <c r="F41" s="23" t="inlineStr">
        <is>
          <t>Газель Next</t>
        </is>
      </c>
      <c r="G41" s="24" t="n">
        <v>6000</v>
      </c>
    </row>
    <row r="42">
      <c r="A42" s="22" t="n">
        <v>5</v>
      </c>
      <c r="B42" s="22" t="inlineStr">
        <is>
          <t>25.08.2026</t>
        </is>
      </c>
      <c r="C42" s="23" t="inlineStr">
        <is>
          <t>Счёт №16 от 27.09.2026</t>
        </is>
      </c>
      <c r="D42" s="22" t="inlineStr">
        <is>
          <t>Рейс №566</t>
        </is>
      </c>
      <c r="E42" s="23" t="inlineStr">
        <is>
          <t>Никифоров Д.В.</t>
        </is>
      </c>
      <c r="F42" s="23" t="inlineStr">
        <is>
          <t>Газель Next</t>
        </is>
      </c>
      <c r="G42" s="24" t="n">
        <v>6000</v>
      </c>
    </row>
    <row r="43">
      <c r="A43" s="22" t="n">
        <v>6</v>
      </c>
      <c r="B43" s="22" t="inlineStr">
        <is>
          <t>27.08.2026</t>
        </is>
      </c>
      <c r="C43" s="23" t="inlineStr">
        <is>
          <t>Счёт №17 от 27.08.2026</t>
        </is>
      </c>
      <c r="D43" s="22" t="inlineStr">
        <is>
          <t>Рейс №578</t>
        </is>
      </c>
      <c r="E43" s="23" t="inlineStr">
        <is>
          <t>Полещук В.В.</t>
        </is>
      </c>
      <c r="F43" s="23" t="inlineStr">
        <is>
          <t>Газель</t>
        </is>
      </c>
      <c r="G43" s="24" t="n">
        <v>5000</v>
      </c>
    </row>
    <row r="44">
      <c r="A44" s="22" t="n">
        <v>7</v>
      </c>
      <c r="B44" s="22" t="inlineStr">
        <is>
          <t>08.09.2026</t>
        </is>
      </c>
      <c r="C44" s="23" t="inlineStr">
        <is>
          <t>Счёт №18 от 10.09.2026</t>
        </is>
      </c>
      <c r="D44" s="22" t="inlineStr">
        <is>
          <t>Рейс №639</t>
        </is>
      </c>
      <c r="E44" s="23" t="inlineStr">
        <is>
          <t>Фарух</t>
        </is>
      </c>
      <c r="F44" s="23" t="inlineStr">
        <is>
          <t>Газель Next</t>
        </is>
      </c>
      <c r="G44" s="24" t="n">
        <v>8000</v>
      </c>
    </row>
    <row r="45">
      <c r="A45" s="22" t="n">
        <v>8</v>
      </c>
      <c r="B45" s="22" t="inlineStr">
        <is>
          <t>02.10.2026</t>
        </is>
      </c>
      <c r="C45" s="23" t="inlineStr">
        <is>
          <t>Счёт №19 от 03.10.2026</t>
        </is>
      </c>
      <c r="D45" s="22" t="inlineStr">
        <is>
          <t>Рейс №756</t>
        </is>
      </c>
      <c r="E45" s="23" t="inlineStr">
        <is>
          <t>Иван Фирсов</t>
        </is>
      </c>
      <c r="F45" s="23" t="inlineStr">
        <is>
          <t>Газель Next</t>
        </is>
      </c>
      <c r="G45" s="24" t="n">
        <v>5000</v>
      </c>
    </row>
    <row r="46">
      <c r="A46" s="25" t="inlineStr">
        <is>
          <t>ИТОГО К ОПЛАТЕ:</t>
        </is>
      </c>
      <c r="B46" s="17" t="n"/>
      <c r="C46" s="17" t="n"/>
      <c r="D46" s="17" t="n"/>
      <c r="E46" s="17" t="n"/>
      <c r="F46" s="17" t="n"/>
      <c r="G46" s="26">
        <f>SUM(G38:G45)</f>
        <v/>
      </c>
    </row>
    <row r="49">
      <c r="A49" s="27" t="inlineStr">
        <is>
          <t>От Исполнителя:</t>
        </is>
      </c>
      <c r="E49" s="27" t="inlineStr">
        <is>
          <t>От Заказчика:</t>
        </is>
      </c>
    </row>
    <row r="50">
      <c r="A50" t="inlineStr">
        <is>
          <t>ИП Нигамедьянов А.С.</t>
        </is>
      </c>
      <c r="E50" t="inlineStr">
        <is>
          <t>ООО «Уралводстрой» (УВС)</t>
        </is>
      </c>
    </row>
    <row r="52">
      <c r="A52" t="inlineStr">
        <is>
          <t>Подпись: _________________ / Нигамедьянов А.С. /</t>
        </is>
      </c>
      <c r="E52" t="inlineStr">
        <is>
          <t>Подпись: _________________ / _________________ /</t>
        </is>
      </c>
    </row>
    <row r="53">
      <c r="A53" t="inlineStr">
        <is>
          <t>М.П.</t>
        </is>
      </c>
      <c r="E53" t="inlineStr">
        <is>
          <t>М.П.</t>
        </is>
      </c>
    </row>
  </sheetData>
  <mergeCells count="16">
    <mergeCell ref="A33:F33"/>
    <mergeCell ref="A36:G36"/>
    <mergeCell ref="A49:C49"/>
    <mergeCell ref="A46:F46"/>
    <mergeCell ref="E49:G49"/>
    <mergeCell ref="E52:G52"/>
    <mergeCell ref="A4:D4"/>
    <mergeCell ref="A2:H2"/>
    <mergeCell ref="E4:H4"/>
    <mergeCell ref="A32:F32"/>
    <mergeCell ref="E53:G53"/>
    <mergeCell ref="E50:G50"/>
    <mergeCell ref="A53:C53"/>
    <mergeCell ref="A1:H1"/>
    <mergeCell ref="A50:C50"/>
    <mergeCell ref="A52:C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2026-10-04T04:41:30Z</dcterms:created>
  <dcterms:modified xmlns:dcterms="http://purl.org/dc/terms/" xmlns:xsi="http://www.w3.org/2001/XMLSchema-instance" xsi:type="dcterms:W3CDTF">2026-10-04T04:41:30Z</dcterms:modified>
</cp:coreProperties>
</file>