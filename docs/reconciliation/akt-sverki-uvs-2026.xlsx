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salda\docs\reconciliation\"/>
    </mc:Choice>
  </mc:AlternateContent>
  <xr:revisionPtr revIDLastSave="0" documentId="13_ncr:1_{5CF63B06-0A15-4DA7-ACEA-E2EB83C2B6F3}" xr6:coauthVersionLast="36" xr6:coauthVersionMax="36" xr10:uidLastSave="{00000000-0000-0000-0000-000000000000}"/>
  <bookViews>
    <workbookView xWindow="0" yWindow="0" windowWidth="23040" windowHeight="10500" xr2:uid="{00000000-000D-0000-FFFF-FFFF00000000}"/>
  </bookViews>
  <sheets>
    <sheet name="Акт сверки УВС" sheetId="1" r:id="rId1"/>
  </sheets>
  <calcPr calcId="191029"/>
</workbook>
</file>

<file path=xl/calcChain.xml><?xml version="1.0" encoding="utf-8"?>
<calcChain xmlns="http://schemas.openxmlformats.org/spreadsheetml/2006/main">
  <c r="G44" i="1" l="1"/>
  <c r="H30" i="1"/>
  <c r="G30" i="1"/>
  <c r="G31" i="1" l="1"/>
</calcChain>
</file>

<file path=xl/sharedStrings.xml><?xml version="1.0" encoding="utf-8"?>
<sst xmlns="http://schemas.openxmlformats.org/spreadsheetml/2006/main" count="189" uniqueCount="85">
  <si>
    <t>АКТ СВЕРКИ ВЗАИМНЫХ РАСЧЕТОВ</t>
  </si>
  <si>
    <t>за период: 18 мая 2026 г. — 04 октября 2026 г.</t>
  </si>
  <si>
    <t>Заказчик: ООО «Уралводстрой» (УВС)</t>
  </si>
  <si>
    <t>№</t>
  </si>
  <si>
    <t>Дата</t>
  </si>
  <si>
    <t>Документ / Основание</t>
  </si>
  <si>
    <t>Рейс</t>
  </si>
  <si>
    <t>Водитель</t>
  </si>
  <si>
    <t>Автомобиль</t>
  </si>
  <si>
    <t>Дебет (Оказано), ₽</t>
  </si>
  <si>
    <t>Кредит (Оплачено), ₽</t>
  </si>
  <si>
    <t>18.05.2026</t>
  </si>
  <si>
    <t>Счёт №1 от 18.05.2026</t>
  </si>
  <si>
    <t>Рейс №88</t>
  </si>
  <si>
    <t>Никифоров Д.В.</t>
  </si>
  <si>
    <t>Газель Next</t>
  </si>
  <si>
    <t>—</t>
  </si>
  <si>
    <t>25.05.2026</t>
  </si>
  <si>
    <t>Счёт №2 от 25.05.2026</t>
  </si>
  <si>
    <t>Рейс №130</t>
  </si>
  <si>
    <t>Оплата по QR от 25.05.2026</t>
  </si>
  <si>
    <t>18.06.2026</t>
  </si>
  <si>
    <t>Счёт №3 от 18.06.2026</t>
  </si>
  <si>
    <t>Рейс №249</t>
  </si>
  <si>
    <t>19.06.2026</t>
  </si>
  <si>
    <t>Рейс №255</t>
  </si>
  <si>
    <t>21.06.2026</t>
  </si>
  <si>
    <t>Рейс №259</t>
  </si>
  <si>
    <t>22.06.2026</t>
  </si>
  <si>
    <t>Рейс №264</t>
  </si>
  <si>
    <t>24.06.2026</t>
  </si>
  <si>
    <t>Рейс №275</t>
  </si>
  <si>
    <t>25.06.2026</t>
  </si>
  <si>
    <t>Рейс №283</t>
  </si>
  <si>
    <t>Счёт №15 от 25.06.2026</t>
  </si>
  <si>
    <t>Рейс №286</t>
  </si>
  <si>
    <t>30.06.2026</t>
  </si>
  <si>
    <t>Рейс №293</t>
  </si>
  <si>
    <t>01.07.2026</t>
  </si>
  <si>
    <t>Платёж б/н от 01.07.2026</t>
  </si>
  <si>
    <t>07.07.2026</t>
  </si>
  <si>
    <t>Счёт №10 от 13.07.2026</t>
  </si>
  <si>
    <t>Рейс №319</t>
  </si>
  <si>
    <t>08.07.2026</t>
  </si>
  <si>
    <t>Счёт №11 от 13.07.2026</t>
  </si>
  <si>
    <t>Рейс №322</t>
  </si>
  <si>
    <t>09.07.2026</t>
  </si>
  <si>
    <t>Счёт №12 от 12.07.2026</t>
  </si>
  <si>
    <t>Рейс №329</t>
  </si>
  <si>
    <t>10.07.2026</t>
  </si>
  <si>
    <t>Счёт №13 от 13.07.2026</t>
  </si>
  <si>
    <t>Рейс №334</t>
  </si>
  <si>
    <t>14.07.2026</t>
  </si>
  <si>
    <t>Счёт №14 от 26.08.2026</t>
  </si>
  <si>
    <t>Рейс №350</t>
  </si>
  <si>
    <t>25.08.2026</t>
  </si>
  <si>
    <t>Счёт №16 от 27.09.2026</t>
  </si>
  <si>
    <t>Рейс №566</t>
  </si>
  <si>
    <t>27.08.2026</t>
  </si>
  <si>
    <t>Счёт №17 от 27.08.2026</t>
  </si>
  <si>
    <t>Рейс №578</t>
  </si>
  <si>
    <t>Полещук В.В.</t>
  </si>
  <si>
    <t>Газель</t>
  </si>
  <si>
    <t>04.09.2026</t>
  </si>
  <si>
    <t>Платёж б/н от 04.09.2026</t>
  </si>
  <si>
    <t>08.09.2026</t>
  </si>
  <si>
    <t>Счёт №18 от 10.09.2026</t>
  </si>
  <si>
    <t>Рейс №639</t>
  </si>
  <si>
    <t>Фарух</t>
  </si>
  <si>
    <t>29.09.2026</t>
  </si>
  <si>
    <t>Платёж б/н от 29.09.2026</t>
  </si>
  <si>
    <t>02.10.2026</t>
  </si>
  <si>
    <t>Счёт №19 от 03.10.2026</t>
  </si>
  <si>
    <t>Рейс №756</t>
  </si>
  <si>
    <t>Иван Фирсов</t>
  </si>
  <si>
    <t>ИТОГО ОБОРОТЫ ЗА ПЕРИОД:</t>
  </si>
  <si>
    <t>КОНЕЧНОЕ САЛЬДО (ЗАДОЛЖЕННОСТЬ УВС):</t>
  </si>
  <si>
    <t>В пользу ИП Нигамедьянов</t>
  </si>
  <si>
    <t>РЕЕСТР НЕОПЛАЧЕННЫХ РЕЙСОВ</t>
  </si>
  <si>
    <t>Дата рейса</t>
  </si>
  <si>
    <t>Счёт / Акт</t>
  </si>
  <si>
    <t>Сумма к оплате, ₽</t>
  </si>
  <si>
    <t>ИТОГО К ОПЛАТЕ:</t>
  </si>
  <si>
    <t>Исполнитель: ИП Нигамедьянов А.С. (ТК501.ru)</t>
  </si>
  <si>
    <t>Счёт от 18.05.2026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</si>
</sst>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b/>
      <sz val="15"/>
      <color rgb="FF0F172A"/>
      <name val="Calibri"/>
    </font>
    <font>
      <i/>
      <sz val="11"/>
      <color rgb="FF475569"/>
      <name val="Calibri"/>
    </font>
    <font>
      <b/>
      <sz val="10"/>
      <color rgb="FF1E3A8A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0F172A"/>
      <name val="Calibri"/>
    </font>
    <font>
      <b/>
      <sz val="11"/>
      <color rgb="FFB91C1C"/>
      <name val="Calibri"/>
    </font>
    <font>
      <b/>
      <sz val="9"/>
      <color rgb="FFB91C1C"/>
      <name val="Calibri"/>
    </font>
    <font>
      <b/>
      <sz val="11"/>
      <color rgb="FF991B1B"/>
      <name val="Calibri"/>
    </font>
    <font>
      <b/>
      <sz val="9"/>
      <color rgb="FFFFFFFF"/>
      <name val="Calibri"/>
    </font>
    <font>
      <sz val="9"/>
      <name val="Calibri"/>
    </font>
    <font>
      <b/>
      <sz val="10"/>
      <color rgb="FF991B1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EE2E2"/>
        <bgColor rgb="FFFEE2E2"/>
      </patternFill>
    </fill>
    <fill>
      <patternFill patternType="solid">
        <fgColor rgb="FF7F1D1D"/>
        <bgColor rgb="FF7F1D1D"/>
      </patternFill>
    </fill>
    <fill>
      <patternFill patternType="solid">
        <fgColor rgb="FFFFF1F2"/>
        <bgColor rgb="FFFFF1F2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medium">
        <color rgb="FF0F172A"/>
      </top>
      <bottom style="medium">
        <color rgb="FF0F172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164" fontId="12" fillId="7" borderId="2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0" fillId="5" borderId="1" xfId="0" applyFill="1" applyBorder="1"/>
    <xf numFmtId="0" fontId="10" fillId="0" borderId="0" xfId="0" applyFont="1" applyAlignment="1">
      <alignment horizontal="left" vertical="center"/>
    </xf>
    <xf numFmtId="0" fontId="0" fillId="0" borderId="0" xfId="0"/>
    <xf numFmtId="0" fontId="13" fillId="5" borderId="1" xfId="0" applyFont="1" applyFill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showWhiteSpace="0" topLeftCell="A15" zoomScaleNormal="100" workbookViewId="0">
      <selection activeCell="H42" sqref="H42"/>
    </sheetView>
  </sheetViews>
  <sheetFormatPr defaultRowHeight="14.4" x14ac:dyDescent="0.3"/>
  <cols>
    <col min="1" max="1" width="5" customWidth="1"/>
    <col min="2" max="2" width="12" customWidth="1"/>
    <col min="3" max="3" width="28" customWidth="1"/>
    <col min="4" max="4" width="14" customWidth="1"/>
    <col min="5" max="5" width="20" customWidth="1"/>
    <col min="6" max="7" width="18" customWidth="1"/>
    <col min="8" max="8" width="22.88671875" customWidth="1"/>
  </cols>
  <sheetData>
    <row r="1" spans="1:8" ht="24" customHeight="1" x14ac:dyDescent="0.3">
      <c r="A1" s="27" t="s">
        <v>0</v>
      </c>
      <c r="B1" s="21"/>
      <c r="C1" s="21"/>
      <c r="D1" s="21"/>
      <c r="E1" s="21"/>
      <c r="F1" s="21"/>
      <c r="G1" s="21"/>
      <c r="H1" s="21"/>
    </row>
    <row r="2" spans="1:8" x14ac:dyDescent="0.3">
      <c r="A2" s="24" t="s">
        <v>1</v>
      </c>
      <c r="B2" s="21"/>
      <c r="C2" s="21"/>
      <c r="D2" s="21"/>
      <c r="E2" s="21"/>
      <c r="F2" s="21"/>
      <c r="G2" s="21"/>
      <c r="H2" s="21"/>
    </row>
    <row r="3" spans="1:8" x14ac:dyDescent="0.3">
      <c r="A3" s="23" t="s">
        <v>83</v>
      </c>
      <c r="B3" s="21"/>
      <c r="C3" s="21"/>
      <c r="D3" s="21"/>
      <c r="E3" s="23" t="s">
        <v>2</v>
      </c>
      <c r="F3" s="21"/>
      <c r="G3" s="21"/>
      <c r="H3" s="21"/>
    </row>
    <row r="4" spans="1:8" ht="22.0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x14ac:dyDescent="0.3">
      <c r="A5" s="2">
        <v>1</v>
      </c>
      <c r="B5" s="2" t="s">
        <v>11</v>
      </c>
      <c r="C5" s="3" t="s">
        <v>12</v>
      </c>
      <c r="D5" s="2" t="s">
        <v>13</v>
      </c>
      <c r="E5" s="3" t="s">
        <v>14</v>
      </c>
      <c r="F5" s="3" t="s">
        <v>15</v>
      </c>
      <c r="G5" s="4">
        <v>7000</v>
      </c>
      <c r="H5" s="5">
        <v>0</v>
      </c>
    </row>
    <row r="6" spans="1:8" x14ac:dyDescent="0.3">
      <c r="A6" s="6">
        <v>2</v>
      </c>
      <c r="B6" s="6" t="s">
        <v>11</v>
      </c>
      <c r="C6" s="7" t="s">
        <v>84</v>
      </c>
      <c r="D6" s="6" t="s">
        <v>13</v>
      </c>
      <c r="E6" s="7" t="s">
        <v>16</v>
      </c>
      <c r="F6" s="7" t="s">
        <v>16</v>
      </c>
      <c r="G6" s="8">
        <v>0</v>
      </c>
      <c r="H6" s="9">
        <v>7000</v>
      </c>
    </row>
    <row r="7" spans="1:8" x14ac:dyDescent="0.3">
      <c r="A7" s="2">
        <v>3</v>
      </c>
      <c r="B7" s="2" t="s">
        <v>17</v>
      </c>
      <c r="C7" s="3" t="s">
        <v>18</v>
      </c>
      <c r="D7" s="2" t="s">
        <v>19</v>
      </c>
      <c r="E7" s="3" t="s">
        <v>14</v>
      </c>
      <c r="F7" s="3" t="s">
        <v>15</v>
      </c>
      <c r="G7" s="4">
        <v>6000</v>
      </c>
      <c r="H7" s="5">
        <v>0</v>
      </c>
    </row>
    <row r="8" spans="1:8" x14ac:dyDescent="0.3">
      <c r="A8" s="6">
        <v>4</v>
      </c>
      <c r="B8" s="6" t="s">
        <v>17</v>
      </c>
      <c r="C8" s="7" t="s">
        <v>20</v>
      </c>
      <c r="D8" s="6" t="s">
        <v>19</v>
      </c>
      <c r="E8" s="7" t="s">
        <v>16</v>
      </c>
      <c r="F8" s="7" t="s">
        <v>16</v>
      </c>
      <c r="G8" s="8">
        <v>0</v>
      </c>
      <c r="H8" s="9">
        <v>6000</v>
      </c>
    </row>
    <row r="9" spans="1:8" x14ac:dyDescent="0.3">
      <c r="A9" s="2">
        <v>5</v>
      </c>
      <c r="B9" s="2" t="s">
        <v>21</v>
      </c>
      <c r="C9" s="3" t="s">
        <v>22</v>
      </c>
      <c r="D9" s="2" t="s">
        <v>23</v>
      </c>
      <c r="E9" s="3" t="s">
        <v>14</v>
      </c>
      <c r="F9" s="3" t="s">
        <v>15</v>
      </c>
      <c r="G9" s="4">
        <v>5000</v>
      </c>
      <c r="H9" s="5">
        <v>0</v>
      </c>
    </row>
    <row r="10" spans="1:8" x14ac:dyDescent="0.3">
      <c r="A10" s="6">
        <v>6</v>
      </c>
      <c r="B10" s="6" t="s">
        <v>24</v>
      </c>
      <c r="C10" s="7" t="s">
        <v>25</v>
      </c>
      <c r="D10" s="6" t="s">
        <v>25</v>
      </c>
      <c r="E10" s="7" t="s">
        <v>14</v>
      </c>
      <c r="F10" s="7" t="s">
        <v>15</v>
      </c>
      <c r="G10" s="9">
        <v>3000</v>
      </c>
      <c r="H10" s="8">
        <v>0</v>
      </c>
    </row>
    <row r="11" spans="1:8" x14ac:dyDescent="0.3">
      <c r="A11" s="2">
        <v>7</v>
      </c>
      <c r="B11" s="2" t="s">
        <v>26</v>
      </c>
      <c r="C11" s="3" t="s">
        <v>27</v>
      </c>
      <c r="D11" s="2" t="s">
        <v>27</v>
      </c>
      <c r="E11" s="3" t="s">
        <v>14</v>
      </c>
      <c r="F11" s="3" t="s">
        <v>15</v>
      </c>
      <c r="G11" s="4">
        <v>6000</v>
      </c>
      <c r="H11" s="5">
        <v>0</v>
      </c>
    </row>
    <row r="12" spans="1:8" x14ac:dyDescent="0.3">
      <c r="A12" s="6">
        <v>8</v>
      </c>
      <c r="B12" s="6" t="s">
        <v>28</v>
      </c>
      <c r="C12" s="7" t="s">
        <v>29</v>
      </c>
      <c r="D12" s="6" t="s">
        <v>29</v>
      </c>
      <c r="E12" s="7" t="s">
        <v>14</v>
      </c>
      <c r="F12" s="7" t="s">
        <v>15</v>
      </c>
      <c r="G12" s="9">
        <v>3000</v>
      </c>
      <c r="H12" s="8">
        <v>0</v>
      </c>
    </row>
    <row r="13" spans="1:8" x14ac:dyDescent="0.3">
      <c r="A13" s="2">
        <v>9</v>
      </c>
      <c r="B13" s="2" t="s">
        <v>30</v>
      </c>
      <c r="C13" s="3" t="s">
        <v>31</v>
      </c>
      <c r="D13" s="2" t="s">
        <v>31</v>
      </c>
      <c r="E13" s="3" t="s">
        <v>14</v>
      </c>
      <c r="F13" s="3" t="s">
        <v>15</v>
      </c>
      <c r="G13" s="4">
        <v>6000</v>
      </c>
      <c r="H13" s="5">
        <v>0</v>
      </c>
    </row>
    <row r="14" spans="1:8" x14ac:dyDescent="0.3">
      <c r="A14" s="6">
        <v>10</v>
      </c>
      <c r="B14" s="6" t="s">
        <v>32</v>
      </c>
      <c r="C14" s="7" t="s">
        <v>33</v>
      </c>
      <c r="D14" s="6" t="s">
        <v>33</v>
      </c>
      <c r="E14" s="7" t="s">
        <v>14</v>
      </c>
      <c r="F14" s="7" t="s">
        <v>15</v>
      </c>
      <c r="G14" s="9">
        <v>3000</v>
      </c>
      <c r="H14" s="8">
        <v>0</v>
      </c>
    </row>
    <row r="15" spans="1:8" x14ac:dyDescent="0.3">
      <c r="A15" s="2">
        <v>11</v>
      </c>
      <c r="B15" s="2" t="s">
        <v>32</v>
      </c>
      <c r="C15" s="3" t="s">
        <v>34</v>
      </c>
      <c r="D15" s="2" t="s">
        <v>35</v>
      </c>
      <c r="E15" s="3" t="s">
        <v>14</v>
      </c>
      <c r="F15" s="3" t="s">
        <v>15</v>
      </c>
      <c r="G15" s="4">
        <v>8000</v>
      </c>
      <c r="H15" s="5">
        <v>0</v>
      </c>
    </row>
    <row r="16" spans="1:8" x14ac:dyDescent="0.3">
      <c r="A16" s="6">
        <v>12</v>
      </c>
      <c r="B16" s="6" t="s">
        <v>36</v>
      </c>
      <c r="C16" s="7" t="s">
        <v>37</v>
      </c>
      <c r="D16" s="6" t="s">
        <v>37</v>
      </c>
      <c r="E16" s="7" t="s">
        <v>14</v>
      </c>
      <c r="F16" s="7" t="s">
        <v>15</v>
      </c>
      <c r="G16" s="9">
        <v>4000</v>
      </c>
      <c r="H16" s="8">
        <v>0</v>
      </c>
    </row>
    <row r="17" spans="1:8" x14ac:dyDescent="0.3">
      <c r="A17" s="2">
        <v>13</v>
      </c>
      <c r="B17" s="2" t="s">
        <v>38</v>
      </c>
      <c r="C17" s="3" t="s">
        <v>39</v>
      </c>
      <c r="D17" s="2" t="s">
        <v>16</v>
      </c>
      <c r="E17" s="3" t="s">
        <v>16</v>
      </c>
      <c r="F17" s="3" t="s">
        <v>16</v>
      </c>
      <c r="G17" s="5">
        <v>0</v>
      </c>
      <c r="H17" s="4">
        <v>3000</v>
      </c>
    </row>
    <row r="18" spans="1:8" x14ac:dyDescent="0.3">
      <c r="A18" s="6">
        <v>14</v>
      </c>
      <c r="B18" s="6" t="s">
        <v>38</v>
      </c>
      <c r="C18" s="7" t="s">
        <v>39</v>
      </c>
      <c r="D18" s="6" t="s">
        <v>16</v>
      </c>
      <c r="E18" s="7" t="s">
        <v>16</v>
      </c>
      <c r="F18" s="7" t="s">
        <v>16</v>
      </c>
      <c r="G18" s="8">
        <v>0</v>
      </c>
      <c r="H18" s="9">
        <v>3000</v>
      </c>
    </row>
    <row r="19" spans="1:8" x14ac:dyDescent="0.3">
      <c r="A19" s="2">
        <v>15</v>
      </c>
      <c r="B19" s="2" t="s">
        <v>40</v>
      </c>
      <c r="C19" s="3" t="s">
        <v>41</v>
      </c>
      <c r="D19" s="2" t="s">
        <v>42</v>
      </c>
      <c r="E19" s="3" t="s">
        <v>14</v>
      </c>
      <c r="F19" s="3" t="s">
        <v>15</v>
      </c>
      <c r="G19" s="4">
        <v>12000</v>
      </c>
      <c r="H19" s="5">
        <v>0</v>
      </c>
    </row>
    <row r="20" spans="1:8" x14ac:dyDescent="0.3">
      <c r="A20" s="6">
        <v>16</v>
      </c>
      <c r="B20" s="6" t="s">
        <v>43</v>
      </c>
      <c r="C20" s="7" t="s">
        <v>44</v>
      </c>
      <c r="D20" s="6" t="s">
        <v>45</v>
      </c>
      <c r="E20" s="7" t="s">
        <v>14</v>
      </c>
      <c r="F20" s="7" t="s">
        <v>15</v>
      </c>
      <c r="G20" s="9">
        <v>4000</v>
      </c>
      <c r="H20" s="8">
        <v>0</v>
      </c>
    </row>
    <row r="21" spans="1:8" x14ac:dyDescent="0.3">
      <c r="A21" s="2">
        <v>17</v>
      </c>
      <c r="B21" s="2" t="s">
        <v>46</v>
      </c>
      <c r="C21" s="3" t="s">
        <v>47</v>
      </c>
      <c r="D21" s="2" t="s">
        <v>48</v>
      </c>
      <c r="E21" s="3" t="s">
        <v>14</v>
      </c>
      <c r="F21" s="3" t="s">
        <v>15</v>
      </c>
      <c r="G21" s="4">
        <v>6000</v>
      </c>
      <c r="H21" s="5">
        <v>0</v>
      </c>
    </row>
    <row r="22" spans="1:8" x14ac:dyDescent="0.3">
      <c r="A22" s="6">
        <v>18</v>
      </c>
      <c r="B22" s="6" t="s">
        <v>49</v>
      </c>
      <c r="C22" s="7" t="s">
        <v>50</v>
      </c>
      <c r="D22" s="6" t="s">
        <v>51</v>
      </c>
      <c r="E22" s="7" t="s">
        <v>14</v>
      </c>
      <c r="F22" s="7" t="s">
        <v>15</v>
      </c>
      <c r="G22" s="9">
        <v>3000</v>
      </c>
      <c r="H22" s="8">
        <v>0</v>
      </c>
    </row>
    <row r="23" spans="1:8" x14ac:dyDescent="0.3">
      <c r="A23" s="2">
        <v>19</v>
      </c>
      <c r="B23" s="2" t="s">
        <v>52</v>
      </c>
      <c r="C23" s="3" t="s">
        <v>53</v>
      </c>
      <c r="D23" s="2" t="s">
        <v>54</v>
      </c>
      <c r="E23" s="3" t="s">
        <v>14</v>
      </c>
      <c r="F23" s="3" t="s">
        <v>15</v>
      </c>
      <c r="G23" s="4">
        <v>6000</v>
      </c>
      <c r="H23" s="5">
        <v>0</v>
      </c>
    </row>
    <row r="24" spans="1:8" x14ac:dyDescent="0.3">
      <c r="A24" s="6">
        <v>20</v>
      </c>
      <c r="B24" s="6" t="s">
        <v>55</v>
      </c>
      <c r="C24" s="7" t="s">
        <v>56</v>
      </c>
      <c r="D24" s="6" t="s">
        <v>57</v>
      </c>
      <c r="E24" s="7" t="s">
        <v>14</v>
      </c>
      <c r="F24" s="7" t="s">
        <v>15</v>
      </c>
      <c r="G24" s="9">
        <v>6000</v>
      </c>
      <c r="H24" s="8">
        <v>0</v>
      </c>
    </row>
    <row r="25" spans="1:8" x14ac:dyDescent="0.3">
      <c r="A25" s="2">
        <v>21</v>
      </c>
      <c r="B25" s="2" t="s">
        <v>58</v>
      </c>
      <c r="C25" s="3" t="s">
        <v>59</v>
      </c>
      <c r="D25" s="2" t="s">
        <v>60</v>
      </c>
      <c r="E25" s="3" t="s">
        <v>61</v>
      </c>
      <c r="F25" s="3" t="s">
        <v>62</v>
      </c>
      <c r="G25" s="4">
        <v>5000</v>
      </c>
      <c r="H25" s="5">
        <v>0</v>
      </c>
    </row>
    <row r="26" spans="1:8" x14ac:dyDescent="0.3">
      <c r="A26" s="6">
        <v>22</v>
      </c>
      <c r="B26" s="6" t="s">
        <v>63</v>
      </c>
      <c r="C26" s="7" t="s">
        <v>64</v>
      </c>
      <c r="D26" s="6" t="s">
        <v>16</v>
      </c>
      <c r="E26" s="7" t="s">
        <v>16</v>
      </c>
      <c r="F26" s="7" t="s">
        <v>16</v>
      </c>
      <c r="G26" s="8">
        <v>0</v>
      </c>
      <c r="H26" s="9">
        <v>24000</v>
      </c>
    </row>
    <row r="27" spans="1:8" x14ac:dyDescent="0.3">
      <c r="A27" s="2">
        <v>23</v>
      </c>
      <c r="B27" s="2" t="s">
        <v>65</v>
      </c>
      <c r="C27" s="3" t="s">
        <v>66</v>
      </c>
      <c r="D27" s="2" t="s">
        <v>67</v>
      </c>
      <c r="E27" s="3" t="s">
        <v>68</v>
      </c>
      <c r="F27" s="3" t="s">
        <v>15</v>
      </c>
      <c r="G27" s="4">
        <v>8000</v>
      </c>
      <c r="H27" s="5">
        <v>0</v>
      </c>
    </row>
    <row r="28" spans="1:8" x14ac:dyDescent="0.3">
      <c r="A28" s="6">
        <v>24</v>
      </c>
      <c r="B28" s="6" t="s">
        <v>69</v>
      </c>
      <c r="C28" s="7" t="s">
        <v>70</v>
      </c>
      <c r="D28" s="6" t="s">
        <v>16</v>
      </c>
      <c r="E28" s="7" t="s">
        <v>16</v>
      </c>
      <c r="F28" s="7" t="s">
        <v>16</v>
      </c>
      <c r="G28" s="8">
        <v>0</v>
      </c>
      <c r="H28" s="9">
        <v>15000</v>
      </c>
    </row>
    <row r="29" spans="1:8" x14ac:dyDescent="0.3">
      <c r="A29" s="2">
        <v>25</v>
      </c>
      <c r="B29" s="2" t="s">
        <v>71</v>
      </c>
      <c r="C29" s="3" t="s">
        <v>72</v>
      </c>
      <c r="D29" s="2" t="s">
        <v>73</v>
      </c>
      <c r="E29" s="3" t="s">
        <v>74</v>
      </c>
      <c r="F29" s="3" t="s">
        <v>15</v>
      </c>
      <c r="G29" s="4">
        <v>5000</v>
      </c>
      <c r="H29" s="5">
        <v>0</v>
      </c>
    </row>
    <row r="30" spans="1:8" x14ac:dyDescent="0.3">
      <c r="A30" s="25" t="s">
        <v>75</v>
      </c>
      <c r="B30" s="26"/>
      <c r="C30" s="26"/>
      <c r="D30" s="26"/>
      <c r="E30" s="26"/>
      <c r="F30" s="26"/>
      <c r="G30" s="10">
        <f>SUM(G5:G29)</f>
        <v>106000</v>
      </c>
      <c r="H30" s="10">
        <f>SUM(H5:H29)</f>
        <v>58000</v>
      </c>
    </row>
    <row r="31" spans="1:8" x14ac:dyDescent="0.3">
      <c r="A31" s="18" t="s">
        <v>76</v>
      </c>
      <c r="B31" s="19"/>
      <c r="C31" s="19"/>
      <c r="D31" s="19"/>
      <c r="E31" s="19"/>
      <c r="F31" s="19"/>
      <c r="G31" s="11">
        <f>G30-H30</f>
        <v>48000</v>
      </c>
      <c r="H31" s="12" t="s">
        <v>77</v>
      </c>
    </row>
    <row r="34" spans="1:7" x14ac:dyDescent="0.3">
      <c r="A34" s="20" t="s">
        <v>78</v>
      </c>
      <c r="B34" s="21"/>
      <c r="C34" s="21"/>
      <c r="D34" s="21"/>
      <c r="E34" s="21"/>
      <c r="F34" s="21"/>
      <c r="G34" s="21"/>
    </row>
    <row r="35" spans="1:7" x14ac:dyDescent="0.3">
      <c r="A35" s="13" t="s">
        <v>3</v>
      </c>
      <c r="B35" s="13" t="s">
        <v>79</v>
      </c>
      <c r="C35" s="13" t="s">
        <v>80</v>
      </c>
      <c r="D35" s="13" t="s">
        <v>6</v>
      </c>
      <c r="E35" s="13" t="s">
        <v>7</v>
      </c>
      <c r="F35" s="13" t="s">
        <v>8</v>
      </c>
      <c r="G35" s="13" t="s">
        <v>81</v>
      </c>
    </row>
    <row r="36" spans="1:7" x14ac:dyDescent="0.3">
      <c r="A36" s="14">
        <v>1</v>
      </c>
      <c r="B36" s="14" t="s">
        <v>32</v>
      </c>
      <c r="C36" s="15" t="s">
        <v>34</v>
      </c>
      <c r="D36" s="14" t="s">
        <v>35</v>
      </c>
      <c r="E36" s="15" t="s">
        <v>14</v>
      </c>
      <c r="F36" s="15" t="s">
        <v>15</v>
      </c>
      <c r="G36" s="16">
        <v>8000</v>
      </c>
    </row>
    <row r="37" spans="1:7" x14ac:dyDescent="0.3">
      <c r="A37" s="14">
        <v>2</v>
      </c>
      <c r="B37" s="14" t="s">
        <v>43</v>
      </c>
      <c r="C37" s="15" t="s">
        <v>44</v>
      </c>
      <c r="D37" s="14" t="s">
        <v>45</v>
      </c>
      <c r="E37" s="15" t="s">
        <v>14</v>
      </c>
      <c r="F37" s="15" t="s">
        <v>15</v>
      </c>
      <c r="G37" s="16">
        <v>4000</v>
      </c>
    </row>
    <row r="38" spans="1:7" x14ac:dyDescent="0.3">
      <c r="A38" s="14">
        <v>3</v>
      </c>
      <c r="B38" s="14" t="s">
        <v>46</v>
      </c>
      <c r="C38" s="15" t="s">
        <v>47</v>
      </c>
      <c r="D38" s="14" t="s">
        <v>48</v>
      </c>
      <c r="E38" s="15" t="s">
        <v>14</v>
      </c>
      <c r="F38" s="15" t="s">
        <v>15</v>
      </c>
      <c r="G38" s="16">
        <v>6000</v>
      </c>
    </row>
    <row r="39" spans="1:7" x14ac:dyDescent="0.3">
      <c r="A39" s="14">
        <v>4</v>
      </c>
      <c r="B39" s="14" t="s">
        <v>52</v>
      </c>
      <c r="C39" s="15" t="s">
        <v>53</v>
      </c>
      <c r="D39" s="14" t="s">
        <v>54</v>
      </c>
      <c r="E39" s="15" t="s">
        <v>14</v>
      </c>
      <c r="F39" s="15" t="s">
        <v>15</v>
      </c>
      <c r="G39" s="16">
        <v>6000</v>
      </c>
    </row>
    <row r="40" spans="1:7" x14ac:dyDescent="0.3">
      <c r="A40" s="14">
        <v>5</v>
      </c>
      <c r="B40" s="14" t="s">
        <v>55</v>
      </c>
      <c r="C40" s="15" t="s">
        <v>56</v>
      </c>
      <c r="D40" s="14" t="s">
        <v>57</v>
      </c>
      <c r="E40" s="15" t="s">
        <v>14</v>
      </c>
      <c r="F40" s="15" t="s">
        <v>15</v>
      </c>
      <c r="G40" s="16">
        <v>6000</v>
      </c>
    </row>
    <row r="41" spans="1:7" x14ac:dyDescent="0.3">
      <c r="A41" s="14">
        <v>6</v>
      </c>
      <c r="B41" s="14" t="s">
        <v>58</v>
      </c>
      <c r="C41" s="15" t="s">
        <v>59</v>
      </c>
      <c r="D41" s="14" t="s">
        <v>60</v>
      </c>
      <c r="E41" s="15" t="s">
        <v>61</v>
      </c>
      <c r="F41" s="15" t="s">
        <v>62</v>
      </c>
      <c r="G41" s="16">
        <v>5000</v>
      </c>
    </row>
    <row r="42" spans="1:7" x14ac:dyDescent="0.3">
      <c r="A42" s="14">
        <v>7</v>
      </c>
      <c r="B42" s="14" t="s">
        <v>65</v>
      </c>
      <c r="C42" s="15" t="s">
        <v>66</v>
      </c>
      <c r="D42" s="14" t="s">
        <v>67</v>
      </c>
      <c r="E42" s="15" t="s">
        <v>68</v>
      </c>
      <c r="F42" s="15" t="s">
        <v>15</v>
      </c>
      <c r="G42" s="16">
        <v>8000</v>
      </c>
    </row>
    <row r="43" spans="1:7" x14ac:dyDescent="0.3">
      <c r="A43" s="14">
        <v>8</v>
      </c>
      <c r="B43" s="14" t="s">
        <v>71</v>
      </c>
      <c r="C43" s="15" t="s">
        <v>72</v>
      </c>
      <c r="D43" s="14" t="s">
        <v>73</v>
      </c>
      <c r="E43" s="15" t="s">
        <v>74</v>
      </c>
      <c r="F43" s="15" t="s">
        <v>15</v>
      </c>
      <c r="G43" s="16">
        <v>5000</v>
      </c>
    </row>
    <row r="44" spans="1:7" x14ac:dyDescent="0.3">
      <c r="A44" s="22" t="s">
        <v>82</v>
      </c>
      <c r="B44" s="19"/>
      <c r="C44" s="19"/>
      <c r="D44" s="19"/>
      <c r="E44" s="19"/>
      <c r="F44" s="19"/>
      <c r="G44" s="17">
        <f>SUM(G36:G43)</f>
        <v>48000</v>
      </c>
    </row>
  </sheetData>
  <mergeCells count="8">
    <mergeCell ref="A1:H1"/>
    <mergeCell ref="A3:D3"/>
    <mergeCell ref="A2:H2"/>
    <mergeCell ref="E3:H3"/>
    <mergeCell ref="A30:F30"/>
    <mergeCell ref="A31:F31"/>
    <mergeCell ref="A34:G34"/>
    <mergeCell ref="A44:F44"/>
  </mergeCells>
  <pageMargins left="0.75" right="0.75" top="1" bottom="1" header="0.5" footer="0.5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 сверки УВС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IntoTheRain</cp:lastModifiedBy>
  <cp:lastPrinted>2026-10-04T07:11:01Z</cp:lastPrinted>
  <dcterms:created xsi:type="dcterms:W3CDTF">2026-10-04T04:41:30Z</dcterms:created>
  <dcterms:modified xsi:type="dcterms:W3CDTF">2026-10-04T07:11:43Z</dcterms:modified>
</cp:coreProperties>
</file>